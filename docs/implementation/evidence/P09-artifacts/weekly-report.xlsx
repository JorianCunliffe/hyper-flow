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report" state="visible" r:id="rId4"/>
    <sheet sheetId="2" name="Accepted work" state="visible" r:id="rId5"/>
    <sheet sheetId="3" name="Evidence" state="visible" r:id="rId6"/>
  </sheets>
  <calcPr calcId="171027" fullCalcOnLoad="1"/>
</workbook>
</file>

<file path=xl/sharedStrings.xml><?xml version="1.0" encoding="utf-8"?>
<sst xmlns="http://schemas.openxmlformats.org/spreadsheetml/2006/main" count="56" uniqueCount="48">
  <si>
    <t>Weekly operating report</t>
  </si>
  <si>
    <t>Project</t>
  </si>
  <si>
    <t>Controlled operating report fixture</t>
  </si>
  <si>
    <t>Period start</t>
  </si>
  <si>
    <t>Cutoff exclusive</t>
  </si>
  <si>
    <t>Records read</t>
  </si>
  <si>
    <t>Metric</t>
  </si>
  <si>
    <t>Value</t>
  </si>
  <si>
    <t>Accepted records</t>
  </si>
  <si>
    <t>Currently open</t>
  </si>
  <si>
    <t>Currently fulfilled</t>
  </si>
  <si>
    <t>Due in period</t>
  </si>
  <si>
    <t>Open before cutoff</t>
  </si>
  <si>
    <t>Controlled fixture data for release testing.</t>
  </si>
  <si>
    <t>States reflect the records read at the observation time. This is not a historical state reconstruction.</t>
  </si>
  <si>
    <t>Communication excerpts are supporting evidence, not newly accepted obligations.</t>
  </si>
  <si>
    <t>Communication context is a bounded selection of at most 30 search matches, not an exhaustive history.</t>
  </si>
  <si>
    <t>Input fingerprint 7be60d56fbafe1a83f18bbc49f3c64a310d73df42d392d68b73c1e9bca4e9e74</t>
  </si>
  <si>
    <t>Template weekly-xlsx version 1</t>
  </si>
  <si>
    <t>Draft for review. No delivery has occurred.</t>
  </si>
  <si>
    <t>Obligation ID</t>
  </si>
  <si>
    <t>Version</t>
  </si>
  <si>
    <t>Deliverable</t>
  </si>
  <si>
    <t>Owner</t>
  </si>
  <si>
    <t>Beneficiary</t>
  </si>
  <si>
    <t>State</t>
  </si>
  <si>
    <t>Due UTC</t>
  </si>
  <si>
    <t>Timezone</t>
  </si>
  <si>
    <t>Communication references</t>
  </si>
  <si>
    <t>Source changed</t>
  </si>
  <si>
    <t>Open</t>
  </si>
  <si>
    <t>ob_report</t>
  </si>
  <si>
    <t>Prepare the weekly report</t>
  </si>
  <si>
    <t>Report owner</t>
  </si>
  <si>
    <t>Project team</t>
  </si>
  <si>
    <t>accepted</t>
  </si>
  <si>
    <t>Australia/Brisbane</t>
  </si>
  <si>
    <t>comm_fixture_0</t>
  </si>
  <si>
    <t>No</t>
  </si>
  <si>
    <t>ob_delivery</t>
  </si>
  <si>
    <t>Confirm the supplier delivery</t>
  </si>
  <si>
    <t>fulfilled</t>
  </si>
  <si>
    <t>comm_fixture_1</t>
  </si>
  <si>
    <t>Evidence type</t>
  </si>
  <si>
    <t>Excerpt</t>
  </si>
  <si>
    <t>Date qualification</t>
  </si>
  <si>
    <t>Evidence</t>
  </si>
  <si>
    <t>I will prepare the weekly report for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</si>
</sst>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 hh:mm &quot;UTC&quot;"/>
    <numFmt numFmtId="165" formatCode="yyyy-mm-dd hh:mm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color rgb="FF202B36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65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43" customWidth="1"/>
    <col min="2" max="2" width="26" customWidth="1"/>
    <col min="3" max="3" width="80" customWidth="1"/>
  </cols>
  <sheetData>
    <row r="1" ht="30" customHeight="1" spans="1:1" s="1" customFormat="1" x14ac:dyDescent="0.25">
      <c r="A1" s="1" t="s">
        <v>0</v>
      </c>
    </row>
    <row r="2" ht="40" customHeight="1" spans="1:2" s="2" customFormat="1" x14ac:dyDescent="0.25">
      <c r="A2" s="2" t="s">
        <v>1</v>
      </c>
      <c r="B2" s="2" t="s">
        <v>2</v>
      </c>
    </row>
    <row r="3" ht="30" customHeight="1" spans="1:2" s="2" customFormat="1" x14ac:dyDescent="0.25">
      <c r="A3" s="2" t="s">
        <v>3</v>
      </c>
      <c r="B3" s="3">
        <v>46267</v>
      </c>
    </row>
    <row r="4" ht="30" customHeight="1" spans="1:2" s="2" customFormat="1" x14ac:dyDescent="0.25">
      <c r="A4" s="2" t="s">
        <v>4</v>
      </c>
      <c r="B4" s="3">
        <v>46274</v>
      </c>
    </row>
    <row r="5" ht="30" customHeight="1" spans="1:2" s="2" customFormat="1" x14ac:dyDescent="0.25">
      <c r="A5" s="2" t="s">
        <v>5</v>
      </c>
      <c r="B5" s="3">
        <v>46274</v>
      </c>
    </row>
    <row r="6" ht="30" customHeight="1" spans="1:2" s="2" customFormat="1" x14ac:dyDescent="0.25">
      <c r="A6" s="2" t="s">
        <v>6</v>
      </c>
      <c r="B6" s="2" t="s">
        <v>7</v>
      </c>
    </row>
    <row r="7" ht="30" customHeight="1" spans="1:2" s="2" customFormat="1" x14ac:dyDescent="0.25">
      <c r="A7" s="2" t="s">
        <v>8</v>
      </c>
      <c r="B7" s="2">
        <f>COUNTA('Accepted work'!A2:A3)</f>
        <v>2</v>
      </c>
    </row>
    <row r="8" ht="30" customHeight="1" spans="1:2" s="2" customFormat="1" x14ac:dyDescent="0.25">
      <c r="A8" s="2" t="s">
        <v>9</v>
      </c>
      <c r="B8" s="2">
        <f>COUNTIF('Accepted work'!K2:K3,1)</f>
        <v>1</v>
      </c>
    </row>
    <row r="9" ht="30" customHeight="1" spans="1:2" s="2" customFormat="1" x14ac:dyDescent="0.25">
      <c r="A9" s="2" t="s">
        <v>10</v>
      </c>
      <c r="B9" s="2">
        <f>COUNTIF('Accepted work'!F2:F3,"fulfilled")</f>
        <v>1</v>
      </c>
    </row>
    <row r="10" ht="30" customHeight="1" spans="1:2" s="2" customFormat="1" x14ac:dyDescent="0.25">
      <c r="A10" s="2" t="s">
        <v>11</v>
      </c>
      <c r="B10" s="2">
        <f>COUNTIF('Accepted work'!L2:L3,1)</f>
        <v>1</v>
      </c>
    </row>
    <row r="11" ht="30" customHeight="1" spans="1:2" s="2" customFormat="1" x14ac:dyDescent="0.25">
      <c r="A11" s="2" t="s">
        <v>12</v>
      </c>
      <c r="B11" s="2">
        <f>COUNTIF('Accepted work'!M2:M3,1)</f>
        <v>1</v>
      </c>
    </row>
    <row r="13" ht="40" customHeight="1" spans="1:1" s="2" customFormat="1" x14ac:dyDescent="0.25">
      <c r="A13" s="2" t="s">
        <v>13</v>
      </c>
    </row>
    <row r="14" ht="56" customHeight="1" spans="1:1" s="2" customFormat="1" x14ac:dyDescent="0.25">
      <c r="A14" s="2" t="s">
        <v>14</v>
      </c>
    </row>
    <row r="15" ht="56" customHeight="1" spans="1:1" s="2" customFormat="1" x14ac:dyDescent="0.25">
      <c r="A15" s="2" t="s">
        <v>15</v>
      </c>
    </row>
    <row r="16" ht="56" customHeight="1" spans="1:1" s="2" customFormat="1" x14ac:dyDescent="0.25">
      <c r="A16" s="2" t="s">
        <v>16</v>
      </c>
    </row>
    <row r="17" ht="56" customHeight="1" spans="1:1" s="2" customFormat="1" x14ac:dyDescent="0.25">
      <c r="A17" s="2" t="s">
        <v>17</v>
      </c>
    </row>
    <row r="18" ht="30" customHeight="1" spans="1:1" s="2" customFormat="1" x14ac:dyDescent="0.25">
      <c r="A18" s="2" t="s">
        <v>18</v>
      </c>
    </row>
    <row r="19" ht="40" customHeight="1" spans="1:1" s="2" customFormat="1" x14ac:dyDescent="0.25">
      <c r="A19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65" customWidth="1"/>
    <col min="4" max="5" width="28" customWidth="1"/>
    <col min="6" max="6" width="20" customWidth="1"/>
    <col min="7" max="8" width="25" customWidth="1"/>
    <col min="9" max="9" width="50" customWidth="1"/>
    <col min="10" max="10" width="22" customWidth="1"/>
    <col min="11" max="11" width="12" customWidth="1"/>
    <col min="12" max="12" width="15" customWidth="1"/>
    <col min="13" max="13" width="18" customWidth="1"/>
  </cols>
  <sheetData>
    <row r="1" ht="30" customHeight="1" spans="1:13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11</v>
      </c>
      <c r="M1" s="1" t="s">
        <v>12</v>
      </c>
    </row>
    <row r="2" ht="30" customHeight="1" spans="1:13" s="2" customFormat="1" x14ac:dyDescent="0.25">
      <c r="A2" s="2" t="s">
        <v>31</v>
      </c>
      <c r="B2" s="2">
        <v>1</v>
      </c>
      <c r="C2" s="2" t="s">
        <v>32</v>
      </c>
      <c r="D2" s="2" t="s">
        <v>33</v>
      </c>
      <c r="E2" s="2" t="s">
        <v>34</v>
      </c>
      <c r="F2" s="2" t="s">
        <v>35</v>
      </c>
      <c r="G2" s="4">
        <v>46273.08333333333</v>
      </c>
      <c r="H2" s="2" t="s">
        <v>36</v>
      </c>
      <c r="I2" s="2" t="s">
        <v>37</v>
      </c>
      <c r="J2" s="2" t="s">
        <v>38</v>
      </c>
      <c r="K2" s="2">
        <f>IF(OR(F2="fulfilled",F2="cancelled"),0,1)</f>
        <v>1</v>
      </c>
      <c r="L2" s="2">
        <f>IF(ISNUMBER(G2),IF(AND(G2&gt;='Weekly report'!$B$3,G2&lt;'Weekly report'!$B$4),1,0),0)</f>
        <v>1</v>
      </c>
      <c r="M2" s="2">
        <f>IF(ISNUMBER(G2),IF(AND(K2=1,G2&lt;'Weekly report'!$B$4),1,0),0)</f>
        <v>1</v>
      </c>
    </row>
    <row r="3" ht="30" customHeight="1" spans="1:13" s="2" customFormat="1" x14ac:dyDescent="0.25">
      <c r="A3" s="2" t="s">
        <v>39</v>
      </c>
      <c r="B3" s="2">
        <v>2</v>
      </c>
      <c r="C3" s="2" t="s">
        <v>40</v>
      </c>
      <c r="D3" s="2" t="s">
        <v>33</v>
      </c>
      <c r="E3" s="2" t="s">
        <v>34</v>
      </c>
      <c r="F3" s="2" t="s">
        <v>41</v>
      </c>
      <c r="G3" s="4">
        <v>46274</v>
      </c>
      <c r="H3" s="2" t="s">
        <v>36</v>
      </c>
      <c r="I3" s="2" t="s">
        <v>42</v>
      </c>
      <c r="J3" s="2" t="s">
        <v>38</v>
      </c>
      <c r="K3" s="2">
        <f>IF(OR(F3="fulfilled",F3="cancelled"),0,1)</f>
        <v>0</v>
      </c>
      <c r="L3" s="2">
        <f>IF(ISNUMBER(G3),IF(AND(G3&gt;='Weekly report'!$B$3,G3&lt;'Weekly report'!$B$4),1,0),0)</f>
        <v>0</v>
      </c>
      <c r="M3" s="2">
        <f>IF(ISNUMBER(G3),IF(AND(K3=1,G3&lt;'Weekly report'!$B$4),1,0),0)</f>
        <v>0</v>
      </c>
    </row>
  </sheetData>
  <autoFilter ref="A1:M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5" customWidth="1"/>
    <col min="2" max="2" width="100" customWidth="1"/>
    <col min="3" max="3" width="70" customWidth="1"/>
    <col min="4" max="4" width="45" customWidth="1"/>
  </cols>
  <sheetData>
    <row r="1" ht="30" customHeight="1" spans="1:4" s="1" customFormat="1" x14ac:dyDescent="0.25">
      <c r="A1" s="1" t="s">
        <v>43</v>
      </c>
      <c r="B1" s="1" t="s">
        <v>44</v>
      </c>
      <c r="C1" s="1" t="s">
        <v>28</v>
      </c>
      <c r="D1" s="1" t="s">
        <v>45</v>
      </c>
    </row>
    <row r="2" ht="30" customHeight="1" spans="1:4" s="2" customFormat="1" x14ac:dyDescent="0.25">
      <c r="A2" s="2" t="s">
        <v>46</v>
      </c>
      <c r="B2" s="2" t="s">
        <v>47</v>
      </c>
      <c r="C2" s="2" t="s">
        <v>37</v>
      </c>
      <c r="D2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report</vt:lpstr>
      <vt:lpstr>Accepted work</vt:lpstr>
      <vt:lpstr>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HyperFlow</dc:creator>
  <dc:title/>
  <dc:subject/>
  <dc:description/>
  <cp:keywords/>
  <cp:category/>
  <cp:lastModifiedBy>Unknown</cp:lastModifiedBy>
  <dcterms:created xsi:type="dcterms:W3CDTF">2026-09-09T00:00:00Z</dcterms:created>
  <dcterms:modified xsi:type="dcterms:W3CDTF">2026-09-08T16:34:27Z</dcterms:modified>
</cp:coreProperties>
</file>